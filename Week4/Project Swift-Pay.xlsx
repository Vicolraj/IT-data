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45387C1-C77C-4593-AD3C-5858A27B1957}" xr6:coauthVersionLast="47" xr6:coauthVersionMax="47" xr10:uidLastSave="{00000000-0000-0000-0000-000000000000}"/>
  <bookViews>
    <workbookView xWindow="-120" yWindow="-120" windowWidth="20730" windowHeight="11760" activeTab="2" xr2:uid="{5F277FE6-97CE-4B0E-A1AC-1F6C57F9F71C}"/>
  </bookViews>
  <sheets>
    <sheet name="Chart1" sheetId="2" r:id="rId1"/>
    <sheet name="Chart2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D6" i="1" s="1"/>
  <c r="F6" i="1" s="1"/>
  <c r="F4" i="1"/>
  <c r="D8" i="1"/>
  <c r="F8" i="1" s="1"/>
  <c r="H19" i="1"/>
  <c r="F7" i="1"/>
  <c r="D9" i="1" l="1"/>
  <c r="F9" i="1" s="1"/>
  <c r="C23" i="1"/>
  <c r="D11" i="1"/>
  <c r="F11" i="1" s="1"/>
  <c r="D12" i="1" s="1"/>
  <c r="F12" i="1" s="1"/>
  <c r="D13" i="1" s="1"/>
  <c r="F13" i="1" s="1"/>
  <c r="D10" i="1" l="1"/>
  <c r="F10" i="1" s="1"/>
  <c r="C24" i="1" s="1"/>
  <c r="D14" i="1"/>
  <c r="F14" i="1" s="1"/>
  <c r="D15" i="1" s="1"/>
  <c r="F15" i="1" s="1"/>
  <c r="C25" i="1"/>
  <c r="D16" i="1" l="1"/>
  <c r="F16" i="1" s="1"/>
  <c r="D17" i="1" s="1"/>
  <c r="F17" i="1" s="1"/>
  <c r="C26" i="1"/>
  <c r="D18" i="1" l="1"/>
  <c r="F18" i="1" s="1"/>
  <c r="C27" i="1"/>
</calcChain>
</file>

<file path=xl/sharedStrings.xml><?xml version="1.0" encoding="utf-8"?>
<sst xmlns="http://schemas.openxmlformats.org/spreadsheetml/2006/main" count="106" uniqueCount="78">
  <si>
    <t>Task</t>
  </si>
  <si>
    <t>Owner</t>
  </si>
  <si>
    <t>Project Plan</t>
  </si>
  <si>
    <t>SecureVote Faculty</t>
  </si>
  <si>
    <t>Start</t>
  </si>
  <si>
    <t>End</t>
  </si>
  <si>
    <t>Status</t>
  </si>
  <si>
    <t>Completion(%)</t>
  </si>
  <si>
    <t>UI Wireframes</t>
  </si>
  <si>
    <t>Database Schema and Backend architecture design</t>
  </si>
  <si>
    <t xml:space="preserve">Requirement review and branstorming </t>
  </si>
  <si>
    <t>The whole team</t>
  </si>
  <si>
    <t>Duration (days)</t>
  </si>
  <si>
    <t>Backend Developer</t>
  </si>
  <si>
    <t>UI/UX Designer</t>
  </si>
  <si>
    <t xml:space="preserve">UI/UX Design </t>
  </si>
  <si>
    <t xml:space="preserve">Building of Frontend </t>
  </si>
  <si>
    <t>Backend/Api developent</t>
  </si>
  <si>
    <t>Device Encryption System</t>
  </si>
  <si>
    <t>Private AWS Server setup (VPC, VC2, Congnito)</t>
  </si>
  <si>
    <t xml:space="preserve">Testing </t>
  </si>
  <si>
    <t>Depends on</t>
  </si>
  <si>
    <t>Project kickoff</t>
  </si>
  <si>
    <t>UI Wireframes/Backend Arch.. Validation and Approval (Apv1)</t>
  </si>
  <si>
    <t>(Apv1)</t>
  </si>
  <si>
    <t>Requirement review and branstorming</t>
  </si>
  <si>
    <t>Ui Wireframes &amp; Db schema and Arch Design</t>
  </si>
  <si>
    <t>Frontend Developer</t>
  </si>
  <si>
    <t>Tester</t>
  </si>
  <si>
    <t>Launch</t>
  </si>
  <si>
    <t>Project  MGT</t>
  </si>
  <si>
    <t>Integration of Backend to Frontend</t>
  </si>
  <si>
    <t>Deployment of Frontend to Vercel &amp; domain configuration</t>
  </si>
  <si>
    <t xml:space="preserve">Deployment of Backend to Aws </t>
  </si>
  <si>
    <t>Full Completion</t>
  </si>
  <si>
    <t>Deployment of Backend &amp; Frontend App</t>
  </si>
  <si>
    <t>Testing</t>
  </si>
  <si>
    <t>Milestone chart</t>
  </si>
  <si>
    <t>Phases</t>
  </si>
  <si>
    <t xml:space="preserve">The whole team </t>
  </si>
  <si>
    <t>Project Kick-off</t>
  </si>
  <si>
    <t>PM</t>
  </si>
  <si>
    <t>Design Validation (Schema &amp; Wireframe)</t>
  </si>
  <si>
    <t>Auth &amp; Encryption setup</t>
  </si>
  <si>
    <t>Launching</t>
  </si>
  <si>
    <t>Integration  of System</t>
  </si>
  <si>
    <t>Deployment &amp; Testing</t>
  </si>
  <si>
    <t>UI design and building</t>
  </si>
  <si>
    <t>Target (days)</t>
  </si>
  <si>
    <t>Completed</t>
  </si>
  <si>
    <t>Inprogress</t>
  </si>
  <si>
    <t>Pending</t>
  </si>
  <si>
    <t>Risk Resgister</t>
  </si>
  <si>
    <t>Medium</t>
  </si>
  <si>
    <t>High</t>
  </si>
  <si>
    <t>Critical</t>
  </si>
  <si>
    <t>Low</t>
  </si>
  <si>
    <t>#</t>
  </si>
  <si>
    <t>Risk</t>
  </si>
  <si>
    <t>Category</t>
  </si>
  <si>
    <t>Likelihood</t>
  </si>
  <si>
    <t>Impact</t>
  </si>
  <si>
    <t>Risk Level</t>
  </si>
  <si>
    <t>Mitigation</t>
  </si>
  <si>
    <t>People</t>
  </si>
  <si>
    <t>Client changes scope after development starts</t>
  </si>
  <si>
    <t>Scope</t>
  </si>
  <si>
    <t>Sign off scope in writing before development</t>
  </si>
  <si>
    <t>Student data entry form has usability issues</t>
  </si>
  <si>
    <t>Technical</t>
  </si>
  <si>
    <t>Conduct usability testing with 3 real students</t>
  </si>
  <si>
    <t>Hosting server goes down at launch</t>
  </si>
  <si>
    <t>Use a cloud provider with 99.9% uptime SLA</t>
  </si>
  <si>
    <t>API for email notifications is deprecated</t>
  </si>
  <si>
    <t>Choose a maintained provider; have a backup</t>
  </si>
  <si>
    <t>Team member diverting from initial goal</t>
  </si>
  <si>
    <t>Group brainstorming will be done before project kickoff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</si>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</sst>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049151"/>
        <c:axId val="488230335"/>
      </c:barChart>
      <c:catAx>
        <c:axId val="490049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0335"/>
        <c:crosses val="autoZero"/>
        <c:auto val="1"/>
        <c:lblAlgn val="ctr"/>
        <c:lblOffset val="100"/>
        <c:noMultiLvlLbl val="0"/>
      </c:catAx>
      <c:valAx>
        <c:axId val="48823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04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Sheet1!$H$1:$H$3</c:f>
              <c:strCache>
                <c:ptCount val="3"/>
                <c:pt idx="0">
                  <c:v>SecureVote Faculty</c:v>
                </c:pt>
                <c:pt idx="1">
                  <c:v>Project Plan</c:v>
                </c:pt>
                <c:pt idx="2">
                  <c:v>Completion(%)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Sheet1!$B$4:$G$19</c:f>
              <c:multiLvlStrCache>
                <c:ptCount val="16"/>
                <c:lvl>
                  <c:pt idx="1">
                    <c:v>Project kickoff</c:v>
                  </c:pt>
                  <c:pt idx="2">
                    <c:v>Requirement review and branstorming </c:v>
                  </c:pt>
                  <c:pt idx="3">
                    <c:v>Requirement review and branstorming</c:v>
                  </c:pt>
                  <c:pt idx="4">
                    <c:v>Ui Wireframes &amp; Db schema and Arch Design</c:v>
                  </c:pt>
                  <c:pt idx="5">
                    <c:v>(Apv1)</c:v>
                  </c:pt>
                  <c:pt idx="6">
                    <c:v>UI/UX Design </c:v>
                  </c:pt>
                  <c:pt idx="7">
                    <c:v>(Apv1)</c:v>
                  </c:pt>
                  <c:pt idx="8">
                    <c:v>Backend/Api developent</c:v>
                  </c:pt>
                  <c:pt idx="9">
                    <c:v>Private AWS Server setup (VPC, VC2, Congnito)</c:v>
                  </c:pt>
                  <c:pt idx="10">
                    <c:v>Device Encryption System</c:v>
                  </c:pt>
                  <c:pt idx="11">
                    <c:v>Deployment of Backend to Aws </c:v>
                  </c:pt>
                  <c:pt idx="12">
                    <c:v>Integration of Backend to Frontend</c:v>
                  </c:pt>
                  <c:pt idx="13">
                    <c:v>Deployment of Backend &amp; Frontend App</c:v>
                  </c:pt>
                  <c:pt idx="14">
                    <c:v>Testing</c:v>
                  </c:pt>
                  <c:pt idx="15">
                    <c:v>Full Completion</c:v>
                  </c:pt>
                </c:lvl>
                <c:lvl>
                  <c:pt idx="0">
                    <c:v>5/26/2026</c:v>
                  </c:pt>
                  <c:pt idx="1">
                    <c:v>5/29/2026</c:v>
                  </c:pt>
                  <c:pt idx="2">
                    <c:v>6/5/2026</c:v>
                  </c:pt>
                  <c:pt idx="3">
                    <c:v>6/5/2026</c:v>
                  </c:pt>
                  <c:pt idx="4">
                    <c:v>6/5/2026</c:v>
                  </c:pt>
                  <c:pt idx="5">
                    <c:v>6/29/2026</c:v>
                  </c:pt>
                  <c:pt idx="6">
                    <c:v>6/30/2026</c:v>
                  </c:pt>
                  <c:pt idx="7">
                    <c:v>6/19/2026</c:v>
                  </c:pt>
                  <c:pt idx="8">
                    <c:v>6/30/2026</c:v>
                  </c:pt>
                  <c:pt idx="9">
                    <c:v>7/8/2026</c:v>
                  </c:pt>
                  <c:pt idx="10">
                    <c:v>7/13/2026</c:v>
                  </c:pt>
                  <c:pt idx="11">
                    <c:v>7/21/2026</c:v>
                  </c:pt>
                  <c:pt idx="12">
                    <c:v>7/23/2026</c:v>
                  </c:pt>
                  <c:pt idx="13">
                    <c:v>7/28/2026</c:v>
                  </c:pt>
                  <c:pt idx="14">
                    <c:v>7/29/2026</c:v>
                  </c:pt>
                </c:lvl>
                <c:lvl>
                  <c:pt idx="1">
                    <c:v>3</c:v>
                  </c:pt>
                  <c:pt idx="2">
                    <c:v>5</c:v>
                  </c:pt>
                  <c:pt idx="3">
                    <c:v>5</c:v>
                  </c:pt>
                  <c:pt idx="4">
                    <c:v>2</c:v>
                  </c:pt>
                  <c:pt idx="5">
                    <c:v>16</c:v>
                  </c:pt>
                  <c:pt idx="6">
                    <c:v>12</c:v>
                  </c:pt>
                  <c:pt idx="7">
                    <c:v>10</c:v>
                  </c:pt>
                  <c:pt idx="8">
                    <c:v>7</c:v>
                  </c:pt>
                  <c:pt idx="9">
                    <c:v>6</c:v>
                  </c:pt>
                  <c:pt idx="10">
                    <c:v>3</c:v>
                  </c:pt>
                  <c:pt idx="11">
                    <c:v>6</c:v>
                  </c:pt>
                  <c:pt idx="12">
                    <c:v>2</c:v>
                  </c:pt>
                  <c:pt idx="13">
                    <c:v>3</c:v>
                  </c:pt>
                  <c:pt idx="14">
                    <c:v>1</c:v>
                  </c:pt>
                </c:lvl>
                <c:lvl>
                  <c:pt idx="0">
                    <c:v>5/26/2026</c:v>
                  </c:pt>
                  <c:pt idx="1">
                    <c:v>5/26/2026</c:v>
                  </c:pt>
                  <c:pt idx="2">
                    <c:v>5/29/2026</c:v>
                  </c:pt>
                  <c:pt idx="3">
                    <c:v>5/29/2026</c:v>
                  </c:pt>
                  <c:pt idx="4">
                    <c:v>5/31/2026</c:v>
                  </c:pt>
                  <c:pt idx="5">
                    <c:v>6/5/2026</c:v>
                  </c:pt>
                  <c:pt idx="6">
                    <c:v>6/12/2026</c:v>
                  </c:pt>
                  <c:pt idx="7">
                    <c:v>6/5/2026</c:v>
                  </c:pt>
                  <c:pt idx="8">
                    <c:v>6/19/2026</c:v>
                  </c:pt>
                  <c:pt idx="9">
                    <c:v>6/30/2026</c:v>
                  </c:pt>
                  <c:pt idx="10">
                    <c:v>7/8/2026</c:v>
                  </c:pt>
                  <c:pt idx="11">
                    <c:v>7/13/2026</c:v>
                  </c:pt>
                  <c:pt idx="12">
                    <c:v>7/21/2026</c:v>
                  </c:pt>
                  <c:pt idx="13">
                    <c:v>7/23/2026</c:v>
                  </c:pt>
                  <c:pt idx="14">
                    <c:v>7/28/2026</c:v>
                  </c:pt>
                </c:lvl>
                <c:lvl>
                  <c:pt idx="0">
                    <c:v>PM</c:v>
                  </c:pt>
                  <c:pt idx="1">
                    <c:v>The whole team </c:v>
                  </c:pt>
                  <c:pt idx="2">
                    <c:v>UI/UX Designer</c:v>
                  </c:pt>
                  <c:pt idx="3">
                    <c:v>Backend Developer</c:v>
                  </c:pt>
                  <c:pt idx="4">
                    <c:v>The whole team</c:v>
                  </c:pt>
                  <c:pt idx="5">
                    <c:v>UI/UX Designer</c:v>
                  </c:pt>
                  <c:pt idx="6">
                    <c:v>Frontend Developer</c:v>
                  </c:pt>
                  <c:pt idx="7">
                    <c:v>Backend Developer</c:v>
                  </c:pt>
                  <c:pt idx="8">
                    <c:v>Backend Developer</c:v>
                  </c:pt>
                  <c:pt idx="9">
                    <c:v>Backend Developer</c:v>
                  </c:pt>
                  <c:pt idx="10">
                    <c:v>Backend Developer</c:v>
                  </c:pt>
                  <c:pt idx="11">
                    <c:v>Frontend Developer</c:v>
                  </c:pt>
                  <c:pt idx="12">
                    <c:v>Frontend Developer</c:v>
                  </c:pt>
                  <c:pt idx="13">
                    <c:v>Tester</c:v>
                  </c:pt>
                  <c:pt idx="14">
                    <c:v>Project  MGT</c:v>
                  </c:pt>
                </c:lvl>
                <c:lvl>
                  <c:pt idx="0">
                    <c:v>Project Kick-off</c:v>
                  </c:pt>
                  <c:pt idx="1">
                    <c:v>Requirement review and branstorming </c:v>
                  </c:pt>
                  <c:pt idx="2">
                    <c:v>UI Wireframes</c:v>
                  </c:pt>
                  <c:pt idx="3">
                    <c:v>Database Schema and Backend architecture design</c:v>
                  </c:pt>
                  <c:pt idx="4">
                    <c:v>UI Wireframes/Backend Arch.. Validation and Approval (Apv1)</c:v>
                  </c:pt>
                  <c:pt idx="5">
                    <c:v>UI/UX Design </c:v>
                  </c:pt>
                  <c:pt idx="6">
                    <c:v>Building of Frontend </c:v>
                  </c:pt>
                  <c:pt idx="7">
                    <c:v>Backend/Api developent</c:v>
                  </c:pt>
                  <c:pt idx="8">
                    <c:v>Private AWS Server setup (VPC, VC2, Congnito)</c:v>
                  </c:pt>
                  <c:pt idx="9">
                    <c:v>Device Encryption System</c:v>
                  </c:pt>
                  <c:pt idx="10">
                    <c:v>Deployment of Backend to Aws </c:v>
                  </c:pt>
                  <c:pt idx="11">
                    <c:v>Integration of Backend to Frontend</c:v>
                  </c:pt>
                  <c:pt idx="12">
                    <c:v>Deployment of Frontend to Vercel &amp; domain configuration</c:v>
                  </c:pt>
                  <c:pt idx="13">
                    <c:v>Testing </c:v>
                  </c:pt>
                  <c:pt idx="14">
                    <c:v>Launch</c:v>
                  </c:pt>
                </c:lvl>
              </c:multiLvlStrCache>
            </c:multiLvlStrRef>
          </c:cat>
          <c:val>
            <c:numRef>
              <c:f>Sheet1!$H$4:$H$19</c:f>
              <c:numCache>
                <c:formatCode>General</c:formatCode>
                <c:ptCount val="16"/>
                <c:pt idx="1">
                  <c:v>100</c:v>
                </c:pt>
                <c:pt idx="2">
                  <c:v>50</c:v>
                </c:pt>
                <c:pt idx="3">
                  <c:v>30</c:v>
                </c:pt>
                <c:pt idx="15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A-4B3C-A2BA-49D86D93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210416"/>
        <c:axId val="1405211856"/>
      </c:barChart>
      <c:catAx>
        <c:axId val="140521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11856"/>
        <c:crosses val="autoZero"/>
        <c:auto val="1"/>
        <c:lblAlgn val="ctr"/>
        <c:lblOffset val="100"/>
        <c:noMultiLvlLbl val="0"/>
      </c:catAx>
      <c:valAx>
        <c:axId val="14052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21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Sheet1!$B$5:$B$18</c:f>
              <c:strCache>
                <c:ptCount val="14"/>
                <c:pt idx="0">
                  <c:v>Requirement review and branstorming </c:v>
                </c:pt>
                <c:pt idx="1">
                  <c:v>UI Wireframes</c:v>
                </c:pt>
                <c:pt idx="2">
                  <c:v>Database Schema and Backend architecture design</c:v>
                </c:pt>
                <c:pt idx="3">
                  <c:v>UI Wireframes/Backend Arch.. Validation and Approval (Apv1)</c:v>
                </c:pt>
                <c:pt idx="4">
                  <c:v>UI/UX Design </c:v>
                </c:pt>
                <c:pt idx="5">
                  <c:v>Building of Frontend </c:v>
                </c:pt>
                <c:pt idx="6">
                  <c:v>Backend/Api developent</c:v>
                </c:pt>
                <c:pt idx="7">
                  <c:v>Private AWS Server setup (VPC, VC2, Congnito)</c:v>
                </c:pt>
                <c:pt idx="8">
                  <c:v>Device Encryption System</c:v>
                </c:pt>
                <c:pt idx="9">
                  <c:v>Deployment of Backend to Aws </c:v>
                </c:pt>
                <c:pt idx="10">
                  <c:v>Integration of Backend to Frontend</c:v>
                </c:pt>
                <c:pt idx="11">
                  <c:v>Deployment of Frontend to Vercel &amp; domain configuration</c:v>
                </c:pt>
                <c:pt idx="12">
                  <c:v>Testing </c:v>
                </c:pt>
                <c:pt idx="13">
                  <c:v>Launch</c:v>
                </c:pt>
              </c:strCache>
            </c:strRef>
          </c:cat>
          <c:val>
            <c:numRef>
              <c:f>Sheet1!$D$5:$D$18</c:f>
              <c:numCache>
                <c:formatCode>m/d/yyyy</c:formatCode>
                <c:ptCount val="14"/>
                <c:pt idx="0">
                  <c:v>46168</c:v>
                </c:pt>
                <c:pt idx="1">
                  <c:v>46171</c:v>
                </c:pt>
                <c:pt idx="2">
                  <c:v>46171</c:v>
                </c:pt>
                <c:pt idx="3">
                  <c:v>46173</c:v>
                </c:pt>
                <c:pt idx="4">
                  <c:v>46178</c:v>
                </c:pt>
                <c:pt idx="5">
                  <c:v>46185</c:v>
                </c:pt>
                <c:pt idx="6">
                  <c:v>46178</c:v>
                </c:pt>
                <c:pt idx="7">
                  <c:v>46192</c:v>
                </c:pt>
                <c:pt idx="8">
                  <c:v>46203</c:v>
                </c:pt>
                <c:pt idx="9">
                  <c:v>46211</c:v>
                </c:pt>
                <c:pt idx="10">
                  <c:v>46216</c:v>
                </c:pt>
                <c:pt idx="11">
                  <c:v>46224</c:v>
                </c:pt>
                <c:pt idx="12">
                  <c:v>46226</c:v>
                </c:pt>
                <c:pt idx="13">
                  <c:v>46231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A-4354-8CB5-66DF9AF86598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Sheet1!$B$5:$B$18</c:f>
              <c:strCache>
                <c:ptCount val="14"/>
                <c:pt idx="0">
                  <c:v>Requirement review and branstorming </c:v>
                </c:pt>
                <c:pt idx="1">
                  <c:v>UI Wireframes</c:v>
                </c:pt>
                <c:pt idx="2">
                  <c:v>Database Schema and Backend architecture design</c:v>
                </c:pt>
                <c:pt idx="3">
                  <c:v>UI Wireframes/Backend Arch.. Validation and Approval (Apv1)</c:v>
                </c:pt>
                <c:pt idx="4">
                  <c:v>UI/UX Design </c:v>
                </c:pt>
                <c:pt idx="5">
                  <c:v>Building of Frontend </c:v>
                </c:pt>
                <c:pt idx="6">
                  <c:v>Backend/Api developent</c:v>
                </c:pt>
                <c:pt idx="7">
                  <c:v>Private AWS Server setup (VPC, VC2, Congnito)</c:v>
                </c:pt>
                <c:pt idx="8">
                  <c:v>Device Encryption System</c:v>
                </c:pt>
                <c:pt idx="9">
                  <c:v>Deployment of Backend to Aws </c:v>
                </c:pt>
                <c:pt idx="10">
                  <c:v>Integration of Backend to Frontend</c:v>
                </c:pt>
                <c:pt idx="11">
                  <c:v>Deployment of Frontend to Vercel &amp; domain configuration</c:v>
                </c:pt>
                <c:pt idx="12">
                  <c:v>Testing </c:v>
                </c:pt>
                <c:pt idx="13">
                  <c:v>Launch</c:v>
                </c:pt>
              </c:strCache>
            </c:strRef>
          </c:cat>
          <c:val>
            <c:numRef>
              <c:f>Sheet1!$E$5:$E$18</c:f>
              <c:numCache>
                <c:formatCode>General</c:formatCode>
                <c:ptCount val="14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16</c:v>
                </c:pt>
                <c:pt idx="5">
                  <c:v>12</c:v>
                </c:pt>
                <c:pt idx="6">
                  <c:v>10</c:v>
                </c:pt>
                <c:pt idx="7">
                  <c:v>7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A-4354-8CB5-66DF9AF8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9824879"/>
        <c:axId val="639825359"/>
      </c:barChart>
      <c:catAx>
        <c:axId val="6398248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25359"/>
        <c:crosses val="autoZero"/>
        <c:auto val="1"/>
        <c:lblAlgn val="ctr"/>
        <c:lblOffset val="100"/>
        <c:noMultiLvlLbl val="0"/>
      </c:catAx>
      <c:valAx>
        <c:axId val="639825359"/>
        <c:scaling>
          <c:orientation val="minMax"/>
          <c:max val="46223"/>
          <c:min val="4616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0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24879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Sheet1!$C$22</c:f>
              <c:strCache>
                <c:ptCount val="1"/>
                <c:pt idx="0">
                  <c:v>Target (days)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F5-414A-8095-7DBE8E7CAA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F5-414A-8095-7DBE8E7CAA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F5-414A-8095-7DBE8E7CAA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F5-414A-8095-7DBE8E7CAA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F5-414A-8095-7DBE8E7CAA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F5-414A-8095-7DBE8E7CAAC2}"/>
              </c:ext>
            </c:extLst>
          </c:dPt>
          <c:cat>
            <c:strRef>
              <c:f>Sheet1!$B$23:$B$28</c:f>
              <c:strCache>
                <c:ptCount val="6"/>
                <c:pt idx="0">
                  <c:v>Design Validation (Schema &amp; Wireframe)</c:v>
                </c:pt>
                <c:pt idx="1">
                  <c:v>UI design and building</c:v>
                </c:pt>
                <c:pt idx="2">
                  <c:v>Auth &amp; Encryption setup</c:v>
                </c:pt>
                <c:pt idx="3">
                  <c:v>Integration  of System</c:v>
                </c:pt>
                <c:pt idx="4">
                  <c:v>Deployment &amp; Testing</c:v>
                </c:pt>
                <c:pt idx="5">
                  <c:v>Launching</c:v>
                </c:pt>
              </c:strCache>
            </c:strRef>
          </c:cat>
          <c:val>
            <c:numRef>
              <c:f>Sheet1!$C$23:$C$28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33</c:v>
                </c:pt>
                <c:pt idx="3">
                  <c:v>13</c:v>
                </c:pt>
                <c:pt idx="4">
                  <c:v>20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9-408D-AFAD-F89E2E67B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24D272-F9D2-4525-BCC9-CC9213BE4F1A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D14BB0-674A-4AE7-8706-CDD8139B51AB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236" cy="62802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AF840-70E9-C270-AFD2-A106089062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2BBCF-7BB4-7A86-59BA-E98A7BB190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39688</xdr:colOff>
      <xdr:row>1</xdr:row>
      <xdr:rowOff>1</xdr:rowOff>
    </xdr:from>
    <xdr:to>
      <xdr:col>19</xdr:col>
      <xdr:colOff>489479</xdr:colOff>
      <xdr:row>19</xdr:row>
      <xdr:rowOff>66145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4906D-55AD-4325-7D2A-4AC84AF9B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855223</xdr:colOff>
      <xdr:row>19</xdr:row>
      <xdr:rowOff>82482</xdr:rowOff>
    </xdr:from>
    <xdr:to>
      <xdr:col>6</xdr:col>
      <xdr:colOff>2306266</xdr:colOff>
      <xdr:row>33</xdr:row>
      <xdr:rowOff>130310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93E796-F621-E329-056F-9AF370258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0014-59DF-4F49-A393-3E67B7ECED03}">
  <dimension ref="A1:H42"/>
  <sheetViews>
    <sheetView tabSelected="1" zoomScale="115" zoomScaleNormal="85" workbookViewId="0">
      <selection activeCell="B1" sqref="B1"/>
    </sheetView>
  </sheetViews>
  <sheetFormatPr defaultRowHeight="15" x14ac:dyDescent="0.25"/>
  <cols>
    <col min="1" max="1" width="3.42578125" bestFit="1" customWidth="1"/>
    <col min="2" max="2" width="56.28515625" customWidth="1"/>
    <col min="3" max="3" width="21" customWidth="1"/>
    <col min="4" max="4" width="11.28515625" customWidth="1"/>
    <col min="5" max="5" width="11.5703125" customWidth="1"/>
    <col min="6" max="6" width="12.42578125" customWidth="1"/>
    <col min="7" max="7" width="49.7109375" customWidth="1"/>
    <col min="8" max="8" width="17" customWidth="1"/>
  </cols>
  <sheetData>
    <row r="1" spans="1:8" ht="49.5" customHeight="1" x14ac:dyDescent="0.25">
      <c r="B1" s="2" t="s">
        <v>3</v>
      </c>
    </row>
    <row r="2" spans="1:8" ht="24.75" customHeight="1" x14ac:dyDescent="0.25">
      <c r="B2" s="2" t="s">
        <v>2</v>
      </c>
    </row>
    <row r="3" spans="1:8" ht="30" x14ac:dyDescent="0.25">
      <c r="B3" s="1" t="s">
        <v>0</v>
      </c>
      <c r="C3" s="1" t="s">
        <v>1</v>
      </c>
      <c r="D3" s="1" t="s">
        <v>4</v>
      </c>
      <c r="E3" s="1" t="s">
        <v>12</v>
      </c>
      <c r="F3" s="1" t="s">
        <v>5</v>
      </c>
      <c r="G3" s="1" t="s">
        <v>21</v>
      </c>
      <c r="H3" s="1" t="s">
        <v>7</v>
      </c>
    </row>
    <row r="4" spans="1:8" x14ac:dyDescent="0.25">
      <c r="A4" s="5"/>
      <c r="B4" s="4" t="s">
        <v>40</v>
      </c>
      <c r="C4" s="4" t="s">
        <v>41</v>
      </c>
      <c r="D4" s="6">
        <v>46168</v>
      </c>
      <c r="E4" s="4"/>
      <c r="F4" s="6">
        <f>D4</f>
        <v>46168</v>
      </c>
      <c r="G4" s="3"/>
      <c r="H4" s="1"/>
    </row>
    <row r="5" spans="1:8" x14ac:dyDescent="0.25">
      <c r="B5" s="4" t="s">
        <v>10</v>
      </c>
      <c r="C5" s="4" t="s">
        <v>39</v>
      </c>
      <c r="D5" s="6">
        <v>46168</v>
      </c>
      <c r="E5" s="4">
        <v>3</v>
      </c>
      <c r="F5" s="6">
        <f>WORKDAY(D5,E5)</f>
        <v>46171</v>
      </c>
      <c r="G5" s="6" t="s">
        <v>22</v>
      </c>
      <c r="H5" s="4">
        <v>100</v>
      </c>
    </row>
    <row r="6" spans="1:8" ht="21.75" customHeight="1" x14ac:dyDescent="0.25">
      <c r="B6" s="5" t="s">
        <v>8</v>
      </c>
      <c r="C6" s="5" t="s">
        <v>14</v>
      </c>
      <c r="D6" s="7">
        <f>F5</f>
        <v>46171</v>
      </c>
      <c r="E6" s="5">
        <v>5</v>
      </c>
      <c r="F6" s="6">
        <f>WORKDAY(D6,E6)</f>
        <v>46178</v>
      </c>
      <c r="G6" s="6" t="s">
        <v>10</v>
      </c>
      <c r="H6" s="5">
        <v>50</v>
      </c>
    </row>
    <row r="7" spans="1:8" x14ac:dyDescent="0.25">
      <c r="B7" s="5" t="s">
        <v>9</v>
      </c>
      <c r="C7" s="5" t="s">
        <v>13</v>
      </c>
      <c r="D7" s="7">
        <v>46171</v>
      </c>
      <c r="E7" s="5">
        <v>5</v>
      </c>
      <c r="F7" s="6">
        <f>WORKDAY(D7,E7)</f>
        <v>46178</v>
      </c>
      <c r="G7" s="8" t="s">
        <v>25</v>
      </c>
      <c r="H7" s="5">
        <v>30</v>
      </c>
    </row>
    <row r="8" spans="1:8" x14ac:dyDescent="0.25">
      <c r="B8" s="9" t="s">
        <v>23</v>
      </c>
      <c r="C8" s="5" t="s">
        <v>11</v>
      </c>
      <c r="D8" s="7">
        <f>SUM(D7,2)</f>
        <v>46173</v>
      </c>
      <c r="E8" s="5">
        <v>2</v>
      </c>
      <c r="F8" s="6">
        <f>WORKDAY(D8,MAX(E6,E7))</f>
        <v>46178</v>
      </c>
      <c r="G8" s="6" t="s">
        <v>26</v>
      </c>
      <c r="H8" s="5"/>
    </row>
    <row r="9" spans="1:8" x14ac:dyDescent="0.25">
      <c r="B9" s="5" t="s">
        <v>15</v>
      </c>
      <c r="C9" s="7" t="s">
        <v>14</v>
      </c>
      <c r="D9" s="7">
        <f>F8</f>
        <v>46178</v>
      </c>
      <c r="E9" s="5">
        <v>16</v>
      </c>
      <c r="F9" s="6">
        <f>WORKDAY(D9,E9)</f>
        <v>46202</v>
      </c>
      <c r="G9" s="6" t="s">
        <v>24</v>
      </c>
      <c r="H9" s="5"/>
    </row>
    <row r="10" spans="1:8" x14ac:dyDescent="0.25">
      <c r="B10" s="5" t="s">
        <v>16</v>
      </c>
      <c r="C10" s="5" t="s">
        <v>27</v>
      </c>
      <c r="D10" s="7">
        <f>WORKDAY(D9,5)</f>
        <v>46185</v>
      </c>
      <c r="E10" s="5">
        <v>12</v>
      </c>
      <c r="F10" s="6">
        <f>WORKDAY(D10,E10)</f>
        <v>46203</v>
      </c>
      <c r="G10" s="6" t="s">
        <v>15</v>
      </c>
      <c r="H10" s="5"/>
    </row>
    <row r="11" spans="1:8" x14ac:dyDescent="0.25">
      <c r="B11" s="5" t="s">
        <v>17</v>
      </c>
      <c r="C11" s="5" t="s">
        <v>13</v>
      </c>
      <c r="D11" s="7">
        <f>F8</f>
        <v>46178</v>
      </c>
      <c r="E11" s="5">
        <v>10</v>
      </c>
      <c r="F11" s="6">
        <f t="shared" ref="F11:F18" si="0">WORKDAY(D11,E11)</f>
        <v>46192</v>
      </c>
      <c r="G11" s="6" t="s">
        <v>24</v>
      </c>
    </row>
    <row r="12" spans="1:8" x14ac:dyDescent="0.25">
      <c r="B12" s="5" t="s">
        <v>19</v>
      </c>
      <c r="C12" s="5" t="s">
        <v>13</v>
      </c>
      <c r="D12" s="7">
        <f t="shared" ref="D12:D18" si="1">F11</f>
        <v>46192</v>
      </c>
      <c r="E12" s="5">
        <v>7</v>
      </c>
      <c r="F12" s="6">
        <f t="shared" si="0"/>
        <v>46203</v>
      </c>
      <c r="G12" s="6" t="s">
        <v>17</v>
      </c>
    </row>
    <row r="13" spans="1:8" x14ac:dyDescent="0.25">
      <c r="B13" s="5" t="s">
        <v>18</v>
      </c>
      <c r="C13" s="5" t="s">
        <v>13</v>
      </c>
      <c r="D13" s="7">
        <f t="shared" si="1"/>
        <v>46203</v>
      </c>
      <c r="E13" s="5">
        <v>6</v>
      </c>
      <c r="F13" s="6">
        <f t="shared" si="0"/>
        <v>46211</v>
      </c>
      <c r="G13" s="6" t="s">
        <v>19</v>
      </c>
    </row>
    <row r="14" spans="1:8" x14ac:dyDescent="0.25">
      <c r="B14" s="5" t="s">
        <v>33</v>
      </c>
      <c r="C14" s="5" t="s">
        <v>13</v>
      </c>
      <c r="D14" s="7">
        <f t="shared" si="1"/>
        <v>46211</v>
      </c>
      <c r="E14" s="5">
        <v>3</v>
      </c>
      <c r="F14" s="6">
        <f>WORKDAY(D14,E14)</f>
        <v>46216</v>
      </c>
      <c r="G14" s="6" t="s">
        <v>18</v>
      </c>
    </row>
    <row r="15" spans="1:8" x14ac:dyDescent="0.25">
      <c r="B15" s="5" t="s">
        <v>31</v>
      </c>
      <c r="C15" s="5" t="s">
        <v>27</v>
      </c>
      <c r="D15" s="7">
        <f t="shared" si="1"/>
        <v>46216</v>
      </c>
      <c r="E15" s="5">
        <v>6</v>
      </c>
      <c r="F15" s="6">
        <f t="shared" si="0"/>
        <v>46224</v>
      </c>
      <c r="G15" s="6" t="s">
        <v>33</v>
      </c>
    </row>
    <row r="16" spans="1:8" x14ac:dyDescent="0.25">
      <c r="B16" s="5" t="s">
        <v>32</v>
      </c>
      <c r="C16" s="5" t="s">
        <v>27</v>
      </c>
      <c r="D16" s="7">
        <f t="shared" si="1"/>
        <v>46224</v>
      </c>
      <c r="E16" s="5">
        <v>2</v>
      </c>
      <c r="F16" s="6">
        <f t="shared" si="0"/>
        <v>46226</v>
      </c>
      <c r="G16" s="6" t="s">
        <v>31</v>
      </c>
    </row>
    <row r="17" spans="1:8" x14ac:dyDescent="0.25">
      <c r="B17" s="5" t="s">
        <v>20</v>
      </c>
      <c r="C17" s="5" t="s">
        <v>28</v>
      </c>
      <c r="D17" s="7">
        <f t="shared" si="1"/>
        <v>46226</v>
      </c>
      <c r="E17" s="5">
        <v>3</v>
      </c>
      <c r="F17" s="6">
        <f t="shared" si="0"/>
        <v>46231</v>
      </c>
      <c r="G17" s="6" t="s">
        <v>35</v>
      </c>
    </row>
    <row r="18" spans="1:8" x14ac:dyDescent="0.25">
      <c r="B18" s="5" t="s">
        <v>29</v>
      </c>
      <c r="C18" s="5" t="s">
        <v>30</v>
      </c>
      <c r="D18" s="7">
        <f t="shared" si="1"/>
        <v>46231</v>
      </c>
      <c r="E18" s="5">
        <v>1</v>
      </c>
      <c r="F18" s="6">
        <f t="shared" si="0"/>
        <v>46232</v>
      </c>
      <c r="G18" s="6" t="s">
        <v>36</v>
      </c>
    </row>
    <row r="19" spans="1:8" x14ac:dyDescent="0.25">
      <c r="D19" s="5"/>
      <c r="G19" t="s">
        <v>34</v>
      </c>
      <c r="H19">
        <f>(SUM(H5:H18)/100)</f>
        <v>1.8</v>
      </c>
    </row>
    <row r="21" spans="1:8" x14ac:dyDescent="0.25">
      <c r="B21" s="5" t="s">
        <v>37</v>
      </c>
    </row>
    <row r="22" spans="1:8" x14ac:dyDescent="0.25">
      <c r="B22" s="5" t="s">
        <v>38</v>
      </c>
      <c r="C22" t="s">
        <v>48</v>
      </c>
      <c r="D22" t="s">
        <v>6</v>
      </c>
      <c r="G22" t="s">
        <v>77</v>
      </c>
    </row>
    <row r="23" spans="1:8" x14ac:dyDescent="0.25">
      <c r="A23">
        <v>1</v>
      </c>
      <c r="B23" s="5" t="s">
        <v>42</v>
      </c>
      <c r="C23">
        <f>(F8-D4)</f>
        <v>10</v>
      </c>
      <c r="D23" t="s">
        <v>49</v>
      </c>
    </row>
    <row r="24" spans="1:8" x14ac:dyDescent="0.25">
      <c r="A24">
        <v>2</v>
      </c>
      <c r="B24" s="5" t="s">
        <v>47</v>
      </c>
      <c r="C24">
        <f>F10-D9</f>
        <v>25</v>
      </c>
      <c r="D24" t="s">
        <v>50</v>
      </c>
    </row>
    <row r="25" spans="1:8" x14ac:dyDescent="0.25">
      <c r="A25">
        <v>2</v>
      </c>
      <c r="B25" s="5" t="s">
        <v>43</v>
      </c>
      <c r="C25">
        <f>F13-D11</f>
        <v>33</v>
      </c>
      <c r="D25" t="s">
        <v>51</v>
      </c>
    </row>
    <row r="26" spans="1:8" x14ac:dyDescent="0.25">
      <c r="A26">
        <v>3</v>
      </c>
      <c r="B26" s="5" t="s">
        <v>45</v>
      </c>
      <c r="C26">
        <f>F15-D14</f>
        <v>13</v>
      </c>
    </row>
    <row r="27" spans="1:8" x14ac:dyDescent="0.25">
      <c r="A27">
        <v>4</v>
      </c>
      <c r="B27" s="5" t="s">
        <v>46</v>
      </c>
      <c r="C27">
        <f>F17-D14</f>
        <v>20</v>
      </c>
    </row>
    <row r="28" spans="1:8" x14ac:dyDescent="0.25">
      <c r="A28">
        <v>5</v>
      </c>
      <c r="B28" s="5" t="s">
        <v>44</v>
      </c>
      <c r="C28">
        <v>1</v>
      </c>
    </row>
    <row r="36" spans="1:7" x14ac:dyDescent="0.25">
      <c r="B36" t="s">
        <v>52</v>
      </c>
    </row>
    <row r="37" spans="1:7" x14ac:dyDescent="0.25">
      <c r="A37" s="1" t="s">
        <v>57</v>
      </c>
      <c r="B37" s="1" t="s">
        <v>58</v>
      </c>
      <c r="C37" s="1" t="s">
        <v>59</v>
      </c>
      <c r="D37" s="1" t="s">
        <v>60</v>
      </c>
      <c r="E37" s="1" t="s">
        <v>61</v>
      </c>
      <c r="F37" s="1" t="s">
        <v>62</v>
      </c>
      <c r="G37" s="1" t="s">
        <v>63</v>
      </c>
    </row>
    <row r="38" spans="1:7" ht="30" x14ac:dyDescent="0.25">
      <c r="A38" s="10">
        <v>1</v>
      </c>
      <c r="B38" s="10" t="s">
        <v>75</v>
      </c>
      <c r="C38" s="10" t="s">
        <v>64</v>
      </c>
      <c r="D38" s="13" t="s">
        <v>54</v>
      </c>
      <c r="E38" s="13" t="s">
        <v>54</v>
      </c>
      <c r="F38" s="11" t="s">
        <v>55</v>
      </c>
      <c r="G38" s="10" t="s">
        <v>76</v>
      </c>
    </row>
    <row r="39" spans="1:7" x14ac:dyDescent="0.25">
      <c r="A39" s="10">
        <v>2</v>
      </c>
      <c r="B39" s="10" t="s">
        <v>65</v>
      </c>
      <c r="C39" s="10" t="s">
        <v>66</v>
      </c>
      <c r="D39" s="13" t="s">
        <v>54</v>
      </c>
      <c r="E39" s="13" t="s">
        <v>54</v>
      </c>
      <c r="F39" s="11" t="s">
        <v>55</v>
      </c>
      <c r="G39" s="10" t="s">
        <v>67</v>
      </c>
    </row>
    <row r="40" spans="1:7" x14ac:dyDescent="0.25">
      <c r="A40" s="10">
        <v>3</v>
      </c>
      <c r="B40" s="10" t="s">
        <v>68</v>
      </c>
      <c r="C40" s="10" t="s">
        <v>69</v>
      </c>
      <c r="D40" s="15" t="s">
        <v>53</v>
      </c>
      <c r="E40" s="15" t="s">
        <v>53</v>
      </c>
      <c r="F40" s="15" t="s">
        <v>53</v>
      </c>
      <c r="G40" s="10" t="s">
        <v>70</v>
      </c>
    </row>
    <row r="41" spans="1:7" x14ac:dyDescent="0.25">
      <c r="A41" s="10">
        <v>4</v>
      </c>
      <c r="B41" s="10" t="s">
        <v>71</v>
      </c>
      <c r="C41" s="10" t="s">
        <v>69</v>
      </c>
      <c r="D41" s="12" t="s">
        <v>56</v>
      </c>
      <c r="E41" s="14" t="s">
        <v>54</v>
      </c>
      <c r="F41" s="15" t="s">
        <v>53</v>
      </c>
      <c r="G41" s="10" t="s">
        <v>72</v>
      </c>
    </row>
    <row r="42" spans="1:7" x14ac:dyDescent="0.25">
      <c r="A42" s="10">
        <v>5</v>
      </c>
      <c r="B42" s="10" t="s">
        <v>73</v>
      </c>
      <c r="C42" s="10" t="s">
        <v>69</v>
      </c>
      <c r="D42" s="12" t="s">
        <v>56</v>
      </c>
      <c r="E42" s="15" t="s">
        <v>53</v>
      </c>
      <c r="F42" s="12" t="s">
        <v>56</v>
      </c>
      <c r="G42" s="10" t="s">
        <v>74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Raji</dc:creator>
  <cp:lastModifiedBy>Victor Raji</cp:lastModifiedBy>
  <dcterms:created xsi:type="dcterms:W3CDTF">2026-05-15T01:18:21Z</dcterms:created>
  <dcterms:modified xsi:type="dcterms:W3CDTF">2026-05-22T09:45:11Z</dcterms:modified>
</cp:coreProperties>
</file>